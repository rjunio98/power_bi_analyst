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CD8F2436-C973-4EAD-A66C-E898139F76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PA-Set2018" sheetId="2" r:id="rId1"/>
    <sheet name="RPA-Out2018 " sheetId="4" r:id="rId2"/>
    <sheet name="RPA-Ano2018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E7" i="3"/>
  <c r="F7" i="3"/>
  <c r="C7" i="3"/>
  <c r="E10" i="4"/>
  <c r="G9" i="4"/>
  <c r="F9" i="4"/>
  <c r="H9" i="4" s="1"/>
  <c r="G8" i="4"/>
  <c r="F8" i="4"/>
  <c r="H8" i="4" s="1"/>
  <c r="G7" i="4"/>
  <c r="F7" i="4"/>
  <c r="H7" i="4" s="1"/>
  <c r="G6" i="4"/>
  <c r="F6" i="4"/>
  <c r="H6" i="4" s="1"/>
  <c r="G5" i="4"/>
  <c r="G10" i="4" s="1"/>
  <c r="F5" i="4"/>
  <c r="D6" i="3"/>
  <c r="D9" i="3" s="1"/>
  <c r="E6" i="3"/>
  <c r="E9" i="3" s="1"/>
  <c r="F6" i="3"/>
  <c r="F9" i="3" s="1"/>
  <c r="C6" i="3"/>
  <c r="C9" i="3" s="1"/>
  <c r="H6" i="2"/>
  <c r="H7" i="2"/>
  <c r="H8" i="2"/>
  <c r="H9" i="2"/>
  <c r="H5" i="2"/>
  <c r="G9" i="2"/>
  <c r="G8" i="2"/>
  <c r="G7" i="2"/>
  <c r="G6" i="2"/>
  <c r="G5" i="2"/>
  <c r="F6" i="2"/>
  <c r="F7" i="2"/>
  <c r="F8" i="2"/>
  <c r="F9" i="2"/>
  <c r="F5" i="2"/>
  <c r="F10" i="2"/>
  <c r="G10" i="2"/>
  <c r="H10" i="2"/>
  <c r="E10" i="2"/>
  <c r="F10" i="4" l="1"/>
  <c r="H5" i="4"/>
  <c r="H10" i="4" s="1"/>
</calcChain>
</file>

<file path=xl/sharedStrings.xml><?xml version="1.0" encoding="utf-8"?>
<sst xmlns="http://schemas.openxmlformats.org/spreadsheetml/2006/main" count="48" uniqueCount="29">
  <si>
    <t>RELATÓRIO DE PAGAMENTO RPA</t>
  </si>
  <si>
    <t>MÊS</t>
  </si>
  <si>
    <t>ANO</t>
  </si>
  <si>
    <t>Setembro</t>
  </si>
  <si>
    <t>DATA</t>
  </si>
  <si>
    <t>NOME</t>
  </si>
  <si>
    <t>CPF</t>
  </si>
  <si>
    <t>VALOR DO 
SERVIÇO</t>
  </si>
  <si>
    <t>INSS
DESCONTADO</t>
  </si>
  <si>
    <t>INSS DA 
EMPRESA</t>
  </si>
  <si>
    <t>VALOR LÍQUIDO
A PAGAR</t>
  </si>
  <si>
    <t>Albert Einsten</t>
  </si>
  <si>
    <t>Thomas Edison</t>
  </si>
  <si>
    <t>George Lucas</t>
  </si>
  <si>
    <t>TOTAL DO PERÍODO</t>
  </si>
  <si>
    <t>Tabela de Alíquota do INSS</t>
  </si>
  <si>
    <t>Desconto de autônomo</t>
  </si>
  <si>
    <t>Contribuição da emprea</t>
  </si>
  <si>
    <t>Outubro</t>
  </si>
  <si>
    <t>Galileu Galilei</t>
  </si>
  <si>
    <t>Francis</t>
  </si>
  <si>
    <t>Isac</t>
  </si>
  <si>
    <t>RESUMO ANUAL DO PAGAMENTO DE RPA</t>
  </si>
  <si>
    <t>VALOR DOS
 SERVIÇOS</t>
  </si>
  <si>
    <t>INSS DESCONTADO</t>
  </si>
  <si>
    <t>INSS DA EMPRESA</t>
  </si>
  <si>
    <t>VALOR LÍQUIDO 
PAGO</t>
  </si>
  <si>
    <t>...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</si>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</sst>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,&quot;000&quot;,&quot;000&quot;-&quot;00"/>
  </numFmts>
  <fonts count="9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Arial"/>
    </font>
    <font>
      <b/>
      <sz val="12"/>
      <color theme="5" tint="-0.249977111117893"/>
      <name val="Arial"/>
    </font>
    <font>
      <sz val="14"/>
      <color theme="9" tint="-0.499984740745262"/>
      <name val="Arial Black"/>
    </font>
    <font>
      <b/>
      <sz val="9"/>
      <color theme="1"/>
      <name val="Arial"/>
    </font>
    <font>
      <b/>
      <sz val="12"/>
      <color theme="5" tint="-0.499984740745262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/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/>
      <bottom style="thin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/>
      <diagonal/>
    </border>
    <border>
      <left/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80D7-4164-4D1C-A476-B24DBD8B8730}">
  <dimension ref="B2:I14"/>
  <sheetViews>
    <sheetView tabSelected="1" workbookViewId="0">
      <selection activeCell="H5" sqref="H5"/>
    </sheetView>
  </sheetViews>
  <sheetFormatPr defaultRowHeight="22.5" customHeight="1"/>
  <cols>
    <col min="1" max="1" width="9.140625" style="7"/>
    <col min="2" max="2" width="22.85546875" style="7" customWidth="1"/>
    <col min="3" max="3" width="16.85546875" style="7" customWidth="1"/>
    <col min="4" max="4" width="20.42578125" style="7" customWidth="1"/>
    <col min="5" max="5" width="16.28515625" style="7" customWidth="1"/>
    <col min="6" max="6" width="18" style="7" customWidth="1"/>
    <col min="7" max="7" width="20.5703125" style="7" customWidth="1"/>
    <col min="8" max="8" width="20.140625" style="7" customWidth="1"/>
    <col min="9" max="16384" width="9.140625" style="7"/>
  </cols>
  <sheetData>
    <row r="2" spans="2:9" ht="22.5" customHeight="1">
      <c r="B2" s="22" t="s">
        <v>0</v>
      </c>
      <c r="C2" s="22"/>
      <c r="D2" s="22"/>
      <c r="E2" s="22"/>
      <c r="F2" s="23"/>
      <c r="G2" s="5" t="s">
        <v>1</v>
      </c>
      <c r="H2" s="5" t="s">
        <v>2</v>
      </c>
    </row>
    <row r="3" spans="2:9" ht="22.5" customHeight="1">
      <c r="B3" s="22"/>
      <c r="C3" s="22"/>
      <c r="D3" s="22"/>
      <c r="E3" s="22"/>
      <c r="F3" s="22"/>
      <c r="G3" s="6" t="s">
        <v>3</v>
      </c>
      <c r="H3" s="6">
        <v>2018</v>
      </c>
    </row>
    <row r="4" spans="2:9" ht="22.5" customHeight="1">
      <c r="B4" s="1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8"/>
    </row>
    <row r="5" spans="2:9" ht="22.5" customHeight="1">
      <c r="B5" s="2">
        <v>43344</v>
      </c>
      <c r="C5" s="9" t="s">
        <v>11</v>
      </c>
      <c r="D5" s="10">
        <v>23456907093</v>
      </c>
      <c r="E5" s="11">
        <v>1200</v>
      </c>
      <c r="F5" s="11">
        <f>E5*$D$13</f>
        <v>132</v>
      </c>
      <c r="G5" s="11">
        <f>E5*$D$14</f>
        <v>240</v>
      </c>
      <c r="H5" s="11">
        <f>E5-F5</f>
        <v>1068</v>
      </c>
    </row>
    <row r="6" spans="2:9" ht="22.5" customHeight="1">
      <c r="B6" s="2">
        <v>43344</v>
      </c>
      <c r="C6" s="9" t="s">
        <v>12</v>
      </c>
      <c r="D6" s="10">
        <v>87456907094</v>
      </c>
      <c r="E6" s="11">
        <v>955</v>
      </c>
      <c r="F6" s="11">
        <f t="shared" ref="F6:F9" si="0">E6*$D$13</f>
        <v>105.05</v>
      </c>
      <c r="G6" s="11">
        <f>E6*$D$14</f>
        <v>191</v>
      </c>
      <c r="H6" s="11">
        <f t="shared" ref="H6:H9" si="1">E6-F6</f>
        <v>849.95</v>
      </c>
    </row>
    <row r="7" spans="2:9" ht="22.5" customHeight="1">
      <c r="B7" s="2">
        <v>43348</v>
      </c>
      <c r="C7" s="9" t="s">
        <v>13</v>
      </c>
      <c r="D7" s="12">
        <v>97456747095</v>
      </c>
      <c r="E7" s="11">
        <v>345</v>
      </c>
      <c r="F7" s="11">
        <f t="shared" si="0"/>
        <v>37.950000000000003</v>
      </c>
      <c r="G7" s="11">
        <f>E7*$D$14</f>
        <v>69</v>
      </c>
      <c r="H7" s="11">
        <f t="shared" si="1"/>
        <v>307.05</v>
      </c>
    </row>
    <row r="8" spans="2:9" ht="22.5" customHeight="1">
      <c r="B8" s="2"/>
      <c r="C8" s="9"/>
      <c r="D8" s="10"/>
      <c r="E8" s="11"/>
      <c r="F8" s="11">
        <f t="shared" si="0"/>
        <v>0</v>
      </c>
      <c r="G8" s="11">
        <f>E8*$D$14</f>
        <v>0</v>
      </c>
      <c r="H8" s="11">
        <f t="shared" si="1"/>
        <v>0</v>
      </c>
    </row>
    <row r="9" spans="2:9" ht="22.5" customHeight="1">
      <c r="B9" s="2"/>
      <c r="C9" s="9"/>
      <c r="D9" s="10"/>
      <c r="E9" s="11"/>
      <c r="F9" s="11">
        <f t="shared" si="0"/>
        <v>0</v>
      </c>
      <c r="G9" s="11">
        <f>E9*$D$14</f>
        <v>0</v>
      </c>
      <c r="H9" s="11">
        <f t="shared" si="1"/>
        <v>0</v>
      </c>
    </row>
    <row r="10" spans="2:9" ht="22.5" customHeight="1">
      <c r="B10" s="24" t="s">
        <v>14</v>
      </c>
      <c r="C10" s="24"/>
      <c r="D10" s="24"/>
      <c r="E10" s="13">
        <f>SUM(E5:E9)</f>
        <v>2500</v>
      </c>
      <c r="F10" s="13">
        <f t="shared" ref="F10:H10" si="2">SUM(F5:F9)</f>
        <v>275</v>
      </c>
      <c r="G10" s="13">
        <f t="shared" si="2"/>
        <v>500</v>
      </c>
      <c r="H10" s="13">
        <f t="shared" si="2"/>
        <v>2225</v>
      </c>
    </row>
    <row r="12" spans="2:9" ht="22.5" customHeight="1">
      <c r="B12" s="25" t="s">
        <v>15</v>
      </c>
      <c r="C12" s="25"/>
      <c r="D12" s="26"/>
    </row>
    <row r="13" spans="2:9" ht="22.5" customHeight="1">
      <c r="B13" s="27" t="s">
        <v>16</v>
      </c>
      <c r="C13" s="28"/>
      <c r="D13" s="14">
        <v>0.11</v>
      </c>
    </row>
    <row r="14" spans="2:9" ht="22.5" customHeight="1">
      <c r="B14" s="27" t="s">
        <v>17</v>
      </c>
      <c r="C14" s="28"/>
      <c r="D14" s="14">
        <v>0.2</v>
      </c>
    </row>
  </sheetData>
  <mergeCells count="5">
    <mergeCell ref="B2:F3"/>
    <mergeCell ref="B10:D10"/>
    <mergeCell ref="B12:D12"/>
    <mergeCell ref="B13:C13"/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9588-2B12-45BB-95B1-64AAFCD92B46}">
  <dimension ref="B2:I14"/>
  <sheetViews>
    <sheetView workbookViewId="0">
      <selection activeCell="E8" sqref="E8"/>
    </sheetView>
  </sheetViews>
  <sheetFormatPr defaultRowHeight="22.5" customHeight="1"/>
  <cols>
    <col min="1" max="1" width="9.140625" style="7"/>
    <col min="2" max="2" width="22.85546875" style="7" customWidth="1"/>
    <col min="3" max="3" width="16.85546875" style="7" customWidth="1"/>
    <col min="4" max="4" width="20.42578125" style="7" customWidth="1"/>
    <col min="5" max="5" width="16.28515625" style="7" customWidth="1"/>
    <col min="6" max="6" width="18" style="7" customWidth="1"/>
    <col min="7" max="7" width="20.5703125" style="7" customWidth="1"/>
    <col min="8" max="8" width="20.140625" style="7" customWidth="1"/>
    <col min="9" max="16384" width="9.140625" style="7"/>
  </cols>
  <sheetData>
    <row r="2" spans="2:9" ht="22.5" customHeight="1">
      <c r="B2" s="22" t="s">
        <v>0</v>
      </c>
      <c r="C2" s="22"/>
      <c r="D2" s="22"/>
      <c r="E2" s="22"/>
      <c r="F2" s="23"/>
      <c r="G2" s="5" t="s">
        <v>1</v>
      </c>
      <c r="H2" s="5" t="s">
        <v>2</v>
      </c>
    </row>
    <row r="3" spans="2:9" ht="22.5" customHeight="1">
      <c r="B3" s="22"/>
      <c r="C3" s="22"/>
      <c r="D3" s="22"/>
      <c r="E3" s="22"/>
      <c r="F3" s="22"/>
      <c r="G3" s="6" t="s">
        <v>18</v>
      </c>
      <c r="H3" s="6">
        <v>2018</v>
      </c>
    </row>
    <row r="4" spans="2:9" ht="22.5" customHeight="1">
      <c r="B4" s="1" t="s">
        <v>4</v>
      </c>
      <c r="C4" s="3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8"/>
    </row>
    <row r="5" spans="2:9" ht="22.5" customHeight="1">
      <c r="B5" s="2">
        <v>43378</v>
      </c>
      <c r="C5" s="9" t="s">
        <v>19</v>
      </c>
      <c r="D5" s="10">
        <v>7898495843</v>
      </c>
      <c r="E5" s="11">
        <v>800</v>
      </c>
      <c r="F5" s="11">
        <f>E5*$D$13</f>
        <v>88</v>
      </c>
      <c r="G5" s="11">
        <f>E5*$D$14</f>
        <v>160</v>
      </c>
      <c r="H5" s="11">
        <f>E5-F5</f>
        <v>712</v>
      </c>
    </row>
    <row r="6" spans="2:9" ht="22.5" customHeight="1">
      <c r="B6" s="2">
        <v>43384</v>
      </c>
      <c r="C6" s="9" t="s">
        <v>20</v>
      </c>
      <c r="D6" s="10">
        <v>9034395334</v>
      </c>
      <c r="E6" s="11">
        <v>250</v>
      </c>
      <c r="F6" s="11">
        <f t="shared" ref="F6:F9" si="0">E6*$D$13</f>
        <v>27.5</v>
      </c>
      <c r="G6" s="11">
        <f>E6*$D$14</f>
        <v>50</v>
      </c>
      <c r="H6" s="11">
        <f t="shared" ref="H6:H9" si="1">E6-F6</f>
        <v>222.5</v>
      </c>
    </row>
    <row r="7" spans="2:9" ht="22.5" customHeight="1">
      <c r="B7" s="2">
        <v>43390</v>
      </c>
      <c r="C7" s="9" t="s">
        <v>21</v>
      </c>
      <c r="D7" s="12">
        <v>7654534423</v>
      </c>
      <c r="E7" s="11">
        <v>1345</v>
      </c>
      <c r="F7" s="11">
        <f t="shared" si="0"/>
        <v>147.94999999999999</v>
      </c>
      <c r="G7" s="11">
        <f>E7*$D$14</f>
        <v>269</v>
      </c>
      <c r="H7" s="11">
        <f t="shared" si="1"/>
        <v>1197.05</v>
      </c>
    </row>
    <row r="8" spans="2:9" ht="22.5" customHeight="1">
      <c r="B8" s="2"/>
      <c r="C8" s="9"/>
      <c r="D8" s="10"/>
      <c r="E8" s="11"/>
      <c r="F8" s="11">
        <f t="shared" si="0"/>
        <v>0</v>
      </c>
      <c r="G8" s="11">
        <f>E8*$D$14</f>
        <v>0</v>
      </c>
      <c r="H8" s="11">
        <f t="shared" si="1"/>
        <v>0</v>
      </c>
    </row>
    <row r="9" spans="2:9" ht="22.5" customHeight="1">
      <c r="B9" s="2"/>
      <c r="C9" s="9"/>
      <c r="D9" s="10"/>
      <c r="E9" s="11"/>
      <c r="F9" s="11">
        <f t="shared" si="0"/>
        <v>0</v>
      </c>
      <c r="G9" s="11">
        <f>E9*$D$14</f>
        <v>0</v>
      </c>
      <c r="H9" s="11">
        <f t="shared" si="1"/>
        <v>0</v>
      </c>
    </row>
    <row r="10" spans="2:9" ht="22.5" customHeight="1">
      <c r="B10" s="24" t="s">
        <v>14</v>
      </c>
      <c r="C10" s="24"/>
      <c r="D10" s="24"/>
      <c r="E10" s="13">
        <f>SUM(E5:E9)</f>
        <v>2395</v>
      </c>
      <c r="F10" s="13">
        <f t="shared" ref="F10:H10" si="2">SUM(F5:F9)</f>
        <v>263.45</v>
      </c>
      <c r="G10" s="13">
        <f t="shared" si="2"/>
        <v>479</v>
      </c>
      <c r="H10" s="13">
        <f t="shared" si="2"/>
        <v>2131.5500000000002</v>
      </c>
    </row>
    <row r="12" spans="2:9" ht="22.5" customHeight="1">
      <c r="B12" s="25" t="s">
        <v>15</v>
      </c>
      <c r="C12" s="25"/>
      <c r="D12" s="26"/>
    </row>
    <row r="13" spans="2:9" ht="22.5" customHeight="1">
      <c r="B13" s="27" t="s">
        <v>16</v>
      </c>
      <c r="C13" s="28"/>
      <c r="D13" s="14">
        <v>0.11</v>
      </c>
    </row>
    <row r="14" spans="2:9" ht="22.5" customHeight="1">
      <c r="B14" s="27" t="s">
        <v>17</v>
      </c>
      <c r="C14" s="28"/>
      <c r="D14" s="14">
        <v>0.2</v>
      </c>
    </row>
  </sheetData>
  <mergeCells count="5">
    <mergeCell ref="B2:F3"/>
    <mergeCell ref="B10:D10"/>
    <mergeCell ref="B12:D12"/>
    <mergeCell ref="B13:C13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D3AD-5CA3-4CD1-B898-69CAE59143C5}">
  <dimension ref="B2:F9"/>
  <sheetViews>
    <sheetView showGridLines="0" workbookViewId="0">
      <selection activeCell="E11" sqref="E11"/>
    </sheetView>
  </sheetViews>
  <sheetFormatPr defaultRowHeight="22.5" customHeight="1"/>
  <cols>
    <col min="1" max="1" width="9.140625" style="7"/>
    <col min="2" max="2" width="37.5703125" style="7" bestFit="1" customWidth="1"/>
    <col min="3" max="3" width="21.5703125" style="7" bestFit="1" customWidth="1"/>
    <col min="4" max="4" width="21.28515625" style="7" customWidth="1"/>
    <col min="5" max="5" width="21.140625" style="7" customWidth="1"/>
    <col min="6" max="6" width="26.140625" style="7" customWidth="1"/>
    <col min="7" max="16384" width="9.140625" style="7"/>
  </cols>
  <sheetData>
    <row r="2" spans="2:6" ht="22.5" customHeight="1">
      <c r="B2" s="22" t="s">
        <v>22</v>
      </c>
      <c r="C2" s="22"/>
      <c r="D2" s="22"/>
      <c r="E2" s="22"/>
      <c r="F2" s="19" t="s">
        <v>2</v>
      </c>
    </row>
    <row r="3" spans="2:6" ht="22.5" customHeight="1">
      <c r="B3" s="22"/>
      <c r="C3" s="22"/>
      <c r="D3" s="22"/>
      <c r="E3" s="22"/>
      <c r="F3" s="20">
        <v>2018</v>
      </c>
    </row>
    <row r="4" spans="2:6" ht="36.75" customHeight="1">
      <c r="B4" s="16" t="s">
        <v>1</v>
      </c>
      <c r="C4" s="18" t="s">
        <v>23</v>
      </c>
      <c r="D4" s="17" t="s">
        <v>24</v>
      </c>
      <c r="E4" s="17" t="s">
        <v>25</v>
      </c>
      <c r="F4" s="18" t="s">
        <v>26</v>
      </c>
    </row>
    <row r="5" spans="2:6" ht="22.5" customHeight="1">
      <c r="B5" s="15" t="s">
        <v>27</v>
      </c>
      <c r="C5" s="21"/>
      <c r="D5" s="21"/>
      <c r="E5" s="21"/>
      <c r="F5" s="21"/>
    </row>
    <row r="6" spans="2:6" ht="22.5" customHeight="1">
      <c r="B6" s="15" t="s">
        <v>3</v>
      </c>
      <c r="C6" s="21">
        <f>'RPA-Set2018'!E10</f>
        <v>2500</v>
      </c>
      <c r="D6" s="21">
        <f>'RPA-Set2018'!F10</f>
        <v>275</v>
      </c>
      <c r="E6" s="21">
        <f>'RPA-Set2018'!G10</f>
        <v>500</v>
      </c>
      <c r="F6" s="21">
        <f>'RPA-Set2018'!H10</f>
        <v>2225</v>
      </c>
    </row>
    <row r="7" spans="2:6" ht="22.5" customHeight="1">
      <c r="B7" s="15" t="s">
        <v>18</v>
      </c>
      <c r="C7" s="21">
        <f>'RPA-Out2018 '!E10</f>
        <v>2395</v>
      </c>
      <c r="D7" s="21">
        <f>'RPA-Out2018 '!F10</f>
        <v>263.45</v>
      </c>
      <c r="E7" s="21">
        <f>'RPA-Out2018 '!G10</f>
        <v>479</v>
      </c>
      <c r="F7" s="21">
        <f>'RPA-Out2018 '!H10</f>
        <v>2131.5500000000002</v>
      </c>
    </row>
    <row r="8" spans="2:6" ht="22.5" customHeight="1">
      <c r="B8" s="15" t="s">
        <v>27</v>
      </c>
      <c r="C8" s="21"/>
      <c r="D8" s="21"/>
      <c r="E8" s="21"/>
      <c r="F8" s="21"/>
    </row>
    <row r="9" spans="2:6" ht="22.5" customHeight="1">
      <c r="B9" s="16" t="s">
        <v>28</v>
      </c>
      <c r="C9" s="13">
        <f>SUM(C5:C8)</f>
        <v>4895</v>
      </c>
      <c r="D9" s="13">
        <f t="shared" ref="D9:F9" si="0">SUM(D5:D8)</f>
        <v>538.45000000000005</v>
      </c>
      <c r="E9" s="13">
        <f t="shared" si="0"/>
        <v>979</v>
      </c>
      <c r="F9" s="13">
        <f t="shared" si="0"/>
        <v>4356.55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2026-05-30T22:00:14Z</dcterms:created>
  <dcterms:modified xsi:type="dcterms:W3CDTF">2026-05-31T07:01:29Z</dcterms:modified>
  <cp:category/>
  <cp:contentStatus/>
</cp:coreProperties>
</file>